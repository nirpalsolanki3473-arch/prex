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d.docs.live.net/AC0839BD4705D69A/Documents/"/>
    </mc:Choice>
  </mc:AlternateContent>
  <xr:revisionPtr revIDLastSave="0" documentId="8_{F8B5CD49-3223-4C73-8C3A-513D8EA39224}" xr6:coauthVersionLast="47" xr6:coauthVersionMax="47" xr10:uidLastSave="{00000000-0000-0000-0000-000000000000}"/>
  <bookViews>
    <workbookView xWindow="-110" yWindow="-110" windowWidth="19420" windowHeight="10300" firstSheet="1" activeTab="2" xr2:uid="{44C59F32-398B-495B-9F43-4F0BCB735B54}"/>
  </bookViews>
  <sheets>
    <sheet name="Student" sheetId="1" r:id="rId1"/>
    <sheet name="Sales" sheetId="2" r:id="rId2"/>
    <sheet name="Employe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" i="2"/>
  <c r="U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" i="2"/>
  <c r="O2" i="2" a="1"/>
  <c r="M2" i="2"/>
  <c r="I2" i="2"/>
  <c r="I5" i="2"/>
  <c r="K10" i="3"/>
  <c r="K7" i="3"/>
  <c r="K6" i="3"/>
  <c r="L6" i="3"/>
  <c r="M6" i="1" a="1"/>
  <c r="M2" i="1" a="1"/>
  <c r="J10" i="2" a="1"/>
  <c r="M8" i="2"/>
  <c r="L8" i="2"/>
  <c r="K8" i="2"/>
  <c r="J8" i="2"/>
  <c r="I8" i="2"/>
  <c r="F2" i="3"/>
  <c r="L2" i="1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G2" i="1"/>
  <c r="G21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M5" i="2"/>
  <c r="L5" i="2"/>
  <c r="K5" i="2"/>
  <c r="J5" i="2"/>
  <c r="L2" i="2"/>
  <c r="K2" i="2"/>
  <c r="J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H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G14" i="1"/>
  <c r="G15" i="1"/>
  <c r="G16" i="1"/>
  <c r="G17" i="1"/>
  <c r="G18" i="1"/>
  <c r="G19" i="1"/>
  <c r="G20" i="1"/>
  <c r="G3" i="1"/>
  <c r="G4" i="1"/>
  <c r="G5" i="1"/>
  <c r="G6" i="1"/>
  <c r="G7" i="1"/>
  <c r="G8" i="1"/>
  <c r="G9" i="1"/>
  <c r="G10" i="1"/>
  <c r="G11" i="1"/>
  <c r="G12" i="1"/>
  <c r="G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<sst xmlns="http://schemas.openxmlformats.org/spreadsheetml/2006/main" count="162" uniqueCount="110">
  <si>
    <t>Student ID</t>
  </si>
  <si>
    <t>Name</t>
  </si>
  <si>
    <t>Math</t>
  </si>
  <si>
    <t>Science</t>
  </si>
  <si>
    <t>English</t>
  </si>
  <si>
    <t>Enrollment Date</t>
  </si>
  <si>
    <t>Total marks</t>
  </si>
  <si>
    <t>Grade</t>
  </si>
  <si>
    <t>Math &amp; science</t>
  </si>
  <si>
    <t>Count Math(&gt;50)</t>
  </si>
  <si>
    <t>&gt;60 or not</t>
  </si>
  <si>
    <t xml:space="preserve">&gt;60 total 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</si>
  <si>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</si>
  <si>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</si>
  <si>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</si>
  <si>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</si>
  <si>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</si>
  <si>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</si>
  <si>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</si>
  <si>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</si>
  <si>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</si>
  <si>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</si>
  <si>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</si>
  <si>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</si>
  <si>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</si>
  <si>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</si>
  <si>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</si>
  <si>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</si>
  <si>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</si>
  <si>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</si>
  <si>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</si>
  <si>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</si>
  <si>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</si>
  <si>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</si>
  <si>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</si>
  <si>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</si>
  <si>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</si>
  <si>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</si>
  <si>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Capital</t>
  </si>
  <si>
    <t>Small</t>
  </si>
  <si>
    <t>South total sale</t>
  </si>
  <si>
    <t>West total sale</t>
  </si>
  <si>
    <t>North total sale</t>
  </si>
  <si>
    <t>East total sale</t>
  </si>
  <si>
    <t>get discount or not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</si>
  <si>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</si>
  <si>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</si>
  <si>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</si>
  <si>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</si>
  <si>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</si>
  <si>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</si>
  <si>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</si>
  <si>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</si>
  <si>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Keyboard total sale</t>
  </si>
  <si>
    <t>Printer total sale</t>
  </si>
  <si>
    <t>Mouse total sale</t>
  </si>
  <si>
    <t>Monitar total sale</t>
  </si>
  <si>
    <t>Laptop total sale</t>
  </si>
  <si>
    <t>East</t>
  </si>
  <si>
    <t>Person 4</t>
  </si>
  <si>
    <t>North</t>
  </si>
  <si>
    <t>Person 5</t>
  </si>
  <si>
    <t>Person 6</t>
  </si>
  <si>
    <t>Monitar</t>
  </si>
  <si>
    <t>Laptop</t>
  </si>
  <si>
    <t>Person 7</t>
  </si>
  <si>
    <t>Person 8</t>
  </si>
  <si>
    <t>Person 9</t>
  </si>
  <si>
    <t>Person 10</t>
  </si>
  <si>
    <t>Person 11</t>
  </si>
  <si>
    <t>Monitor</t>
  </si>
  <si>
    <t>Person 12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</si>
  <si>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</si>
  <si>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</si>
  <si>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</si>
  <si>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</si>
  <si>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</si>
  <si>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</si>
  <si>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</si>
  <si>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</si>
  <si>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</si>
  <si>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</si>
  <si>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</si>
  <si>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</si>
  <si>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Right</t>
  </si>
  <si>
    <t>Left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</si>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</sst>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[$₹-4009]\ * #,##0.00_ ;_ [$₹-4009]\ * \-#,##0.00_ ;_ [$₹-4009]\ * &quot;-&quot;??_ ;_ @_ "/>
    <numFmt numFmtId="165" formatCode="_ [$₹-439]* #,##0.00_ ;_ [$₹-439]* \-#,##0.00_ ;_ [$₹-439]* &quot;-&quot;??_ ;_ @_ "/>
    <numFmt numFmtId="166" formatCode="_ [$₹-860]\ * #,##0.00_ ;_ [$₹-860]\ * \-#,##0.00_ ;_ [$₹-860]\ * &quot;-&quot;??_ ;_ @_ "/>
    <numFmt numFmtId="167" formatCode="_ [$₹-44E]* #,##0.00_ ;_ [$₹-44E]* \-#,##0.00_ ;_ [$₹-44E]* &quot;-&quot;??_ ;_ @_ "/>
    <numFmt numFmtId="168" formatCode="_ [$₹-447]* #,##0.00_ ;_ [$₹-447]* \-#,##0.00_ ;_ [$₹-447]* &quot;-&quot;??_ ;_ @_ "/>
  </numFmts>
  <fonts count="4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1" fillId="2" borderId="5" xfId="0" applyFont="1" applyFill="1" applyBorder="1" applyAlignment="1">
      <alignment horizontal="center" vertical="center" wrapText="1"/>
    </xf>
    <xf numFmtId="164" fontId="0" fillId="0" borderId="6" xfId="0" applyNumberFormat="1" applyBorder="1"/>
    <xf numFmtId="15" fontId="2" fillId="0" borderId="4" xfId="0" applyNumberFormat="1" applyFont="1" applyBorder="1" applyAlignment="1">
      <alignment horizontal="center" vertical="center" wrapText="1"/>
    </xf>
    <xf numFmtId="0" fontId="3" fillId="3" borderId="0" xfId="0" applyFont="1" applyFill="1"/>
    <xf numFmtId="165" fontId="2" fillId="0" borderId="4" xfId="0" applyNumberFormat="1" applyFont="1" applyBorder="1" applyAlignment="1">
      <alignment horizontal="center" vertical="center" wrapText="1"/>
    </xf>
    <xf numFmtId="166" fontId="0" fillId="0" borderId="5" xfId="0" applyNumberFormat="1" applyBorder="1"/>
    <xf numFmtId="167" fontId="0" fillId="0" borderId="6" xfId="0" applyNumberFormat="1" applyBorder="1"/>
    <xf numFmtId="167" fontId="0" fillId="4" borderId="7" xfId="0" applyNumberFormat="1" applyFill="1" applyBorder="1"/>
    <xf numFmtId="168" fontId="2" fillId="0" borderId="4" xfId="0" applyNumberFormat="1" applyFont="1" applyBorder="1" applyAlignment="1">
      <alignment horizontal="center" vertical="center" wrapText="1"/>
    </xf>
    <xf numFmtId="168" fontId="0" fillId="0" borderId="0" xfId="0" applyNumberFormat="1"/>
    <xf numFmtId="0" fontId="1" fillId="2" borderId="8" xfId="0" applyFont="1" applyFill="1" applyBorder="1" applyAlignment="1">
      <alignment horizontal="center" vertical="center" wrapText="1"/>
    </xf>
    <xf numFmtId="167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7F35-A653-4859-B73D-A5ADD18404E4}">
  <dimension ref="A1:S21"/>
  <sheetViews>
    <sheetView workbookViewId="0">
      <selection activeCell="N1" sqref="N1"/>
    </sheetView>
  </sheetViews>
  <sheetFormatPr defaultRowHeight="14.45"/>
  <cols>
    <col min="2" max="2" width="9.5703125" customWidth="1"/>
    <col min="6" max="6" width="18.42578125" customWidth="1"/>
    <col min="10" max="10" width="11.85546875" customWidth="1"/>
    <col min="11" max="11" width="19.7109375" customWidth="1"/>
    <col min="13" max="13" width="13" customWidth="1"/>
  </cols>
  <sheetData>
    <row r="1" spans="1:19" ht="3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9" ht="15">
      <c r="A2" s="3">
        <v>1001</v>
      </c>
      <c r="B2" s="4" t="s">
        <v>12</v>
      </c>
      <c r="C2" s="4">
        <v>61</v>
      </c>
      <c r="D2" s="4">
        <v>48</v>
      </c>
      <c r="E2" s="4">
        <v>76</v>
      </c>
      <c r="F2" s="5">
        <v>43101</v>
      </c>
      <c r="G2">
        <f>SUM(C2:E2)</f>
        <v>185</v>
      </c>
      <c r="H2" t="str">
        <f>IF(G2&gt;=220,"A",IF(G2&gt;=190,"B",IF(G2&gt;=160,"C","D")))</f>
        <v>C</v>
      </c>
      <c r="I2" t="str">
        <f>IF(AND(C2&gt;80,D2&gt;80),"Above 80","below 80")</f>
        <v>below 80</v>
      </c>
      <c r="J2" s="10">
        <f>COUNTIF(C2:C21,"&gt;50")</f>
        <v>19</v>
      </c>
      <c r="K2">
        <f>IF(G2&gt;180,AVERAGE(C2,D2,E2),"not &gt; 60")</f>
        <v>61.666666666666664</v>
      </c>
      <c r="L2">
        <f>COUNTIFS(G2:G21,"&gt;180")</f>
        <v>16</v>
      </c>
      <c r="M2" cm="1">
        <f t="array" ref="M2:S3">_xlfn._xlws.FILTER(A2:G21,G2:G21&gt;240,"less than 80")</f>
        <v>1012</v>
      </c>
      <c r="N2" t="str">
        <v>Student 12</v>
      </c>
      <c r="O2">
        <v>85</v>
      </c>
      <c r="P2">
        <v>89</v>
      </c>
      <c r="Q2">
        <v>79</v>
      </c>
      <c r="R2">
        <v>45081</v>
      </c>
      <c r="S2">
        <v>253</v>
      </c>
    </row>
    <row r="3" spans="1:19" ht="15" thickBot="1">
      <c r="A3" s="3">
        <v>1002</v>
      </c>
      <c r="B3" s="4" t="s">
        <v>13</v>
      </c>
      <c r="C3" s="4">
        <v>78</v>
      </c>
      <c r="D3" s="4">
        <v>76</v>
      </c>
      <c r="E3" s="4">
        <v>70</v>
      </c>
      <c r="F3" s="5">
        <v>43281</v>
      </c>
      <c r="G3">
        <f t="shared" ref="G3:G20" si="0">SUM(C3:E3)</f>
        <v>224</v>
      </c>
      <c r="H3" t="str">
        <f t="shared" ref="H3:H21" si="1">IF(G3&gt;=220,"A",IF(G3&gt;=190,"B",IF(G3&gt;=160,"C","D")))</f>
        <v>A</v>
      </c>
      <c r="I3" t="str">
        <f t="shared" ref="I3:I21" si="2">IF(AND(C3&gt;80,D3&gt;80),"Above 80","below 80")</f>
        <v>below 80</v>
      </c>
      <c r="K3">
        <f t="shared" ref="K3:K21" si="3">IF(G3&gt;180,AVERAGE(C3,D3,E3),"not &gt; 60")</f>
        <v>74.666666666666671</v>
      </c>
      <c r="M3">
        <v>1013</v>
      </c>
      <c r="N3" t="str">
        <v>Student 13</v>
      </c>
      <c r="O3">
        <v>98</v>
      </c>
      <c r="P3">
        <v>90</v>
      </c>
      <c r="Q3">
        <v>97</v>
      </c>
      <c r="R3">
        <v>45261</v>
      </c>
      <c r="S3">
        <v>285</v>
      </c>
    </row>
    <row r="4" spans="1:19" ht="15" thickBot="1">
      <c r="A4" s="3">
        <v>1003</v>
      </c>
      <c r="B4" s="4" t="s">
        <v>14</v>
      </c>
      <c r="C4" s="4">
        <v>97</v>
      </c>
      <c r="D4" s="4">
        <v>60</v>
      </c>
      <c r="E4" s="4">
        <v>51</v>
      </c>
      <c r="F4" s="5">
        <v>43461</v>
      </c>
      <c r="G4">
        <f t="shared" si="0"/>
        <v>208</v>
      </c>
      <c r="H4" t="str">
        <f t="shared" si="1"/>
        <v>B</v>
      </c>
      <c r="I4" t="str">
        <f t="shared" si="2"/>
        <v>below 80</v>
      </c>
      <c r="K4">
        <f t="shared" si="3"/>
        <v>69.333333333333329</v>
      </c>
    </row>
    <row r="5" spans="1:19" ht="15" thickBot="1">
      <c r="A5" s="3">
        <v>1004</v>
      </c>
      <c r="B5" s="4" t="s">
        <v>15</v>
      </c>
      <c r="C5" s="4">
        <v>74</v>
      </c>
      <c r="D5" s="4">
        <v>55</v>
      </c>
      <c r="E5" s="4">
        <v>46</v>
      </c>
      <c r="F5" s="5">
        <v>43641</v>
      </c>
      <c r="G5">
        <f t="shared" si="0"/>
        <v>175</v>
      </c>
      <c r="H5" t="str">
        <f t="shared" si="1"/>
        <v>C</v>
      </c>
      <c r="I5" t="str">
        <f t="shared" si="2"/>
        <v>below 80</v>
      </c>
      <c r="K5" t="str">
        <f t="shared" si="3"/>
        <v>not &gt; 60</v>
      </c>
    </row>
    <row r="6" spans="1:19" ht="15" thickBot="1">
      <c r="A6" s="3">
        <v>1005</v>
      </c>
      <c r="B6" s="4" t="s">
        <v>16</v>
      </c>
      <c r="C6" s="4">
        <v>68</v>
      </c>
      <c r="D6" s="4">
        <v>74</v>
      </c>
      <c r="E6" s="4">
        <v>84</v>
      </c>
      <c r="F6" s="5">
        <v>43821</v>
      </c>
      <c r="G6">
        <f t="shared" si="0"/>
        <v>226</v>
      </c>
      <c r="H6" t="str">
        <f t="shared" si="1"/>
        <v>A</v>
      </c>
      <c r="I6" t="str">
        <f t="shared" si="2"/>
        <v>below 80</v>
      </c>
      <c r="K6">
        <f t="shared" si="3"/>
        <v>75.333333333333329</v>
      </c>
      <c r="M6" cm="1">
        <f t="array" ref="M6:S18">_xlfn._xlws.FILTER(A2:G21,G2:G21&gt;200)</f>
        <v>1002</v>
      </c>
      <c r="N6" t="str">
        <v>Student 2</v>
      </c>
      <c r="O6">
        <v>78</v>
      </c>
      <c r="P6">
        <v>76</v>
      </c>
      <c r="Q6">
        <v>70</v>
      </c>
      <c r="R6">
        <v>43281</v>
      </c>
      <c r="S6">
        <v>224</v>
      </c>
    </row>
    <row r="7" spans="1:19" ht="15" thickBot="1">
      <c r="A7" s="3">
        <v>1006</v>
      </c>
      <c r="B7" s="4" t="s">
        <v>17</v>
      </c>
      <c r="C7" s="4">
        <v>80</v>
      </c>
      <c r="D7" s="4">
        <v>70</v>
      </c>
      <c r="E7" s="4">
        <v>65</v>
      </c>
      <c r="F7" s="5">
        <v>44001</v>
      </c>
      <c r="G7">
        <f t="shared" si="0"/>
        <v>215</v>
      </c>
      <c r="H7" t="str">
        <f t="shared" si="1"/>
        <v>B</v>
      </c>
      <c r="I7" t="str">
        <f t="shared" si="2"/>
        <v>below 80</v>
      </c>
      <c r="K7">
        <f t="shared" si="3"/>
        <v>71.666666666666671</v>
      </c>
      <c r="M7">
        <v>1003</v>
      </c>
      <c r="N7" t="str">
        <v>Student 3</v>
      </c>
      <c r="O7">
        <v>97</v>
      </c>
      <c r="P7">
        <v>60</v>
      </c>
      <c r="Q7">
        <v>51</v>
      </c>
      <c r="R7">
        <v>43461</v>
      </c>
      <c r="S7">
        <v>208</v>
      </c>
    </row>
    <row r="8" spans="1:19" ht="15" thickBot="1">
      <c r="A8" s="3">
        <v>1007</v>
      </c>
      <c r="B8" s="4" t="s">
        <v>18</v>
      </c>
      <c r="C8" s="4">
        <v>75</v>
      </c>
      <c r="D8" s="4">
        <v>47</v>
      </c>
      <c r="E8" s="4">
        <v>78</v>
      </c>
      <c r="F8" s="5">
        <v>44181</v>
      </c>
      <c r="G8">
        <f t="shared" si="0"/>
        <v>200</v>
      </c>
      <c r="H8" t="str">
        <f t="shared" si="1"/>
        <v>B</v>
      </c>
      <c r="I8" t="str">
        <f t="shared" si="2"/>
        <v>below 80</v>
      </c>
      <c r="K8">
        <f t="shared" si="3"/>
        <v>66.666666666666671</v>
      </c>
      <c r="M8">
        <v>1005</v>
      </c>
      <c r="N8" t="str">
        <v>Student 5</v>
      </c>
      <c r="O8">
        <v>68</v>
      </c>
      <c r="P8">
        <v>74</v>
      </c>
      <c r="Q8">
        <v>84</v>
      </c>
      <c r="R8">
        <v>43821</v>
      </c>
      <c r="S8">
        <v>226</v>
      </c>
    </row>
    <row r="9" spans="1:19" ht="15" thickBot="1">
      <c r="A9" s="3">
        <v>1008</v>
      </c>
      <c r="B9" s="4" t="s">
        <v>19</v>
      </c>
      <c r="C9" s="4">
        <v>94</v>
      </c>
      <c r="D9" s="4">
        <v>67</v>
      </c>
      <c r="E9" s="4">
        <v>64</v>
      </c>
      <c r="F9" s="5">
        <v>44361</v>
      </c>
      <c r="G9">
        <f t="shared" si="0"/>
        <v>225</v>
      </c>
      <c r="H9" t="str">
        <f t="shared" si="1"/>
        <v>A</v>
      </c>
      <c r="I9" t="str">
        <f t="shared" si="2"/>
        <v>below 80</v>
      </c>
      <c r="K9">
        <f t="shared" si="3"/>
        <v>75</v>
      </c>
      <c r="M9">
        <v>1006</v>
      </c>
      <c r="N9" t="str">
        <v>Student 6</v>
      </c>
      <c r="O9">
        <v>80</v>
      </c>
      <c r="P9">
        <v>70</v>
      </c>
      <c r="Q9">
        <v>65</v>
      </c>
      <c r="R9">
        <v>44001</v>
      </c>
      <c r="S9">
        <v>215</v>
      </c>
    </row>
    <row r="10" spans="1:19" ht="15" thickBot="1">
      <c r="A10" s="3">
        <v>1009</v>
      </c>
      <c r="B10" s="4" t="s">
        <v>20</v>
      </c>
      <c r="C10" s="4">
        <v>41</v>
      </c>
      <c r="D10" s="4">
        <v>75</v>
      </c>
      <c r="E10" s="4">
        <v>56</v>
      </c>
      <c r="F10" s="5">
        <v>44541</v>
      </c>
      <c r="G10">
        <f t="shared" si="0"/>
        <v>172</v>
      </c>
      <c r="H10" t="str">
        <f t="shared" si="1"/>
        <v>C</v>
      </c>
      <c r="I10" t="str">
        <f t="shared" si="2"/>
        <v>below 80</v>
      </c>
      <c r="K10" t="str">
        <f t="shared" si="3"/>
        <v>not &gt; 60</v>
      </c>
      <c r="M10">
        <v>1008</v>
      </c>
      <c r="N10" t="str">
        <v>Student 8</v>
      </c>
      <c r="O10">
        <v>94</v>
      </c>
      <c r="P10">
        <v>67</v>
      </c>
      <c r="Q10">
        <v>64</v>
      </c>
      <c r="R10">
        <v>44361</v>
      </c>
      <c r="S10">
        <v>225</v>
      </c>
    </row>
    <row r="11" spans="1:19" ht="29.45" thickBot="1">
      <c r="A11" s="3">
        <v>1010</v>
      </c>
      <c r="B11" s="4" t="s">
        <v>21</v>
      </c>
      <c r="C11" s="4">
        <v>98</v>
      </c>
      <c r="D11" s="4">
        <v>54</v>
      </c>
      <c r="E11" s="4">
        <v>58</v>
      </c>
      <c r="F11" s="5">
        <v>44721</v>
      </c>
      <c r="G11">
        <f t="shared" si="0"/>
        <v>210</v>
      </c>
      <c r="H11" t="str">
        <f t="shared" si="1"/>
        <v>B</v>
      </c>
      <c r="I11" t="str">
        <f t="shared" si="2"/>
        <v>below 80</v>
      </c>
      <c r="K11">
        <f t="shared" si="3"/>
        <v>70</v>
      </c>
      <c r="M11">
        <v>1010</v>
      </c>
      <c r="N11" t="str">
        <v>Student 10</v>
      </c>
      <c r="O11">
        <v>98</v>
      </c>
      <c r="P11">
        <v>54</v>
      </c>
      <c r="Q11">
        <v>58</v>
      </c>
      <c r="R11">
        <v>44721</v>
      </c>
      <c r="S11">
        <v>210</v>
      </c>
    </row>
    <row r="12" spans="1:19" ht="29.45" thickBot="1">
      <c r="A12" s="3">
        <v>1011</v>
      </c>
      <c r="B12" s="4" t="s">
        <v>22</v>
      </c>
      <c r="C12" s="4">
        <v>73</v>
      </c>
      <c r="D12" s="4">
        <v>79</v>
      </c>
      <c r="E12" s="4">
        <v>53</v>
      </c>
      <c r="F12" s="5">
        <v>44901</v>
      </c>
      <c r="G12">
        <f t="shared" si="0"/>
        <v>205</v>
      </c>
      <c r="H12" t="str">
        <f t="shared" si="1"/>
        <v>B</v>
      </c>
      <c r="I12" t="str">
        <f t="shared" si="2"/>
        <v>below 80</v>
      </c>
      <c r="K12">
        <f t="shared" si="3"/>
        <v>68.333333333333329</v>
      </c>
      <c r="M12">
        <v>1011</v>
      </c>
      <c r="N12" t="str">
        <v>Student 11</v>
      </c>
      <c r="O12">
        <v>73</v>
      </c>
      <c r="P12">
        <v>79</v>
      </c>
      <c r="Q12">
        <v>53</v>
      </c>
      <c r="R12">
        <v>44901</v>
      </c>
      <c r="S12">
        <v>205</v>
      </c>
    </row>
    <row r="13" spans="1:19" ht="29.45" thickBot="1">
      <c r="A13" s="3">
        <v>1012</v>
      </c>
      <c r="B13" s="4" t="s">
        <v>23</v>
      </c>
      <c r="C13" s="4">
        <v>85</v>
      </c>
      <c r="D13" s="4">
        <v>89</v>
      </c>
      <c r="E13" s="4">
        <v>79</v>
      </c>
      <c r="F13" s="5">
        <v>45081</v>
      </c>
      <c r="G13">
        <f t="shared" si="0"/>
        <v>253</v>
      </c>
      <c r="H13" t="str">
        <f t="shared" si="1"/>
        <v>A</v>
      </c>
      <c r="I13" t="str">
        <f t="shared" si="2"/>
        <v>Above 80</v>
      </c>
      <c r="K13">
        <f t="shared" si="3"/>
        <v>84.333333333333329</v>
      </c>
      <c r="M13">
        <v>1012</v>
      </c>
      <c r="N13" t="str">
        <v>Student 12</v>
      </c>
      <c r="O13">
        <v>85</v>
      </c>
      <c r="P13">
        <v>89</v>
      </c>
      <c r="Q13">
        <v>79</v>
      </c>
      <c r="R13">
        <v>45081</v>
      </c>
      <c r="S13">
        <v>253</v>
      </c>
    </row>
    <row r="14" spans="1:19" ht="29.45" thickBot="1">
      <c r="A14" s="3">
        <v>1013</v>
      </c>
      <c r="B14" s="4" t="s">
        <v>24</v>
      </c>
      <c r="C14" s="4">
        <v>98</v>
      </c>
      <c r="D14" s="4">
        <v>90</v>
      </c>
      <c r="E14" s="4">
        <v>97</v>
      </c>
      <c r="F14" s="5">
        <v>45261</v>
      </c>
      <c r="G14">
        <f t="shared" si="0"/>
        <v>285</v>
      </c>
      <c r="H14" t="str">
        <f t="shared" si="1"/>
        <v>A</v>
      </c>
      <c r="I14" t="str">
        <f t="shared" si="2"/>
        <v>Above 80</v>
      </c>
      <c r="K14">
        <f t="shared" si="3"/>
        <v>95</v>
      </c>
      <c r="M14">
        <v>1013</v>
      </c>
      <c r="N14" t="str">
        <v>Student 13</v>
      </c>
      <c r="O14">
        <v>98</v>
      </c>
      <c r="P14">
        <v>90</v>
      </c>
      <c r="Q14">
        <v>97</v>
      </c>
      <c r="R14">
        <v>45261</v>
      </c>
      <c r="S14">
        <v>285</v>
      </c>
    </row>
    <row r="15" spans="1:19" ht="29.45" thickBot="1">
      <c r="A15" s="3">
        <v>1014</v>
      </c>
      <c r="B15" s="4" t="s">
        <v>25</v>
      </c>
      <c r="C15" s="4">
        <v>93</v>
      </c>
      <c r="D15" s="4">
        <v>40</v>
      </c>
      <c r="E15" s="4">
        <v>44</v>
      </c>
      <c r="F15" s="5">
        <v>45441</v>
      </c>
      <c r="G15">
        <f t="shared" si="0"/>
        <v>177</v>
      </c>
      <c r="H15" t="str">
        <f t="shared" si="1"/>
        <v>C</v>
      </c>
      <c r="I15" t="str">
        <f t="shared" si="2"/>
        <v>below 80</v>
      </c>
      <c r="K15" t="str">
        <f t="shared" si="3"/>
        <v>not &gt; 60</v>
      </c>
      <c r="M15">
        <v>1016</v>
      </c>
      <c r="N15" t="str">
        <v>Student 16</v>
      </c>
      <c r="O15">
        <v>98</v>
      </c>
      <c r="P15">
        <v>77</v>
      </c>
      <c r="Q15">
        <v>60</v>
      </c>
      <c r="R15">
        <v>45801</v>
      </c>
      <c r="S15">
        <v>235</v>
      </c>
    </row>
    <row r="16" spans="1:19" ht="29.45" thickBot="1">
      <c r="A16" s="3">
        <v>1015</v>
      </c>
      <c r="B16" s="4" t="s">
        <v>26</v>
      </c>
      <c r="C16" s="4">
        <v>70</v>
      </c>
      <c r="D16" s="4">
        <v>51</v>
      </c>
      <c r="E16" s="4">
        <v>75</v>
      </c>
      <c r="F16" s="5">
        <v>45621</v>
      </c>
      <c r="G16">
        <f t="shared" si="0"/>
        <v>196</v>
      </c>
      <c r="H16" t="str">
        <f t="shared" si="1"/>
        <v>B</v>
      </c>
      <c r="I16" t="str">
        <f t="shared" si="2"/>
        <v>below 80</v>
      </c>
      <c r="K16">
        <f t="shared" si="3"/>
        <v>65.333333333333329</v>
      </c>
      <c r="M16">
        <v>1018</v>
      </c>
      <c r="N16" t="str">
        <v>Student 18</v>
      </c>
      <c r="O16">
        <v>82</v>
      </c>
      <c r="P16">
        <v>48</v>
      </c>
      <c r="Q16">
        <v>79</v>
      </c>
      <c r="R16">
        <v>46161</v>
      </c>
      <c r="S16">
        <v>209</v>
      </c>
    </row>
    <row r="17" spans="1:19" ht="29.45" thickBot="1">
      <c r="A17" s="3">
        <v>1016</v>
      </c>
      <c r="B17" s="4" t="s">
        <v>27</v>
      </c>
      <c r="C17" s="4">
        <v>98</v>
      </c>
      <c r="D17" s="4">
        <v>77</v>
      </c>
      <c r="E17" s="4">
        <v>60</v>
      </c>
      <c r="F17" s="5">
        <v>45801</v>
      </c>
      <c r="G17">
        <f t="shared" si="0"/>
        <v>235</v>
      </c>
      <c r="H17" t="str">
        <f t="shared" si="1"/>
        <v>A</v>
      </c>
      <c r="I17" t="str">
        <f t="shared" si="2"/>
        <v>below 80</v>
      </c>
      <c r="K17">
        <f t="shared" si="3"/>
        <v>78.333333333333329</v>
      </c>
      <c r="M17">
        <v>1019</v>
      </c>
      <c r="N17" t="str">
        <v>Student 19</v>
      </c>
      <c r="O17">
        <v>90</v>
      </c>
      <c r="P17">
        <v>78</v>
      </c>
      <c r="Q17">
        <v>60</v>
      </c>
      <c r="R17">
        <v>46341</v>
      </c>
      <c r="S17">
        <v>228</v>
      </c>
    </row>
    <row r="18" spans="1:19" ht="29.45" thickBot="1">
      <c r="A18" s="3">
        <v>1017</v>
      </c>
      <c r="B18" s="4" t="s">
        <v>28</v>
      </c>
      <c r="C18" s="4">
        <v>66</v>
      </c>
      <c r="D18" s="4">
        <v>59</v>
      </c>
      <c r="E18" s="4">
        <v>40</v>
      </c>
      <c r="F18" s="5">
        <v>45981</v>
      </c>
      <c r="G18">
        <f t="shared" si="0"/>
        <v>165</v>
      </c>
      <c r="H18" t="str">
        <f t="shared" si="1"/>
        <v>C</v>
      </c>
      <c r="I18" t="str">
        <f t="shared" si="2"/>
        <v>below 80</v>
      </c>
      <c r="K18" t="str">
        <f t="shared" si="3"/>
        <v>not &gt; 60</v>
      </c>
      <c r="M18">
        <v>1020</v>
      </c>
      <c r="N18" t="str">
        <v>Student 20</v>
      </c>
      <c r="O18">
        <v>83</v>
      </c>
      <c r="P18">
        <v>92</v>
      </c>
      <c r="Q18">
        <v>55</v>
      </c>
      <c r="R18">
        <v>46521</v>
      </c>
      <c r="S18">
        <v>230</v>
      </c>
    </row>
    <row r="19" spans="1:19" ht="29.45" thickBot="1">
      <c r="A19" s="3">
        <v>1018</v>
      </c>
      <c r="B19" s="4" t="s">
        <v>29</v>
      </c>
      <c r="C19" s="4">
        <v>82</v>
      </c>
      <c r="D19" s="4">
        <v>48</v>
      </c>
      <c r="E19" s="4">
        <v>79</v>
      </c>
      <c r="F19" s="5">
        <v>46161</v>
      </c>
      <c r="G19">
        <f t="shared" si="0"/>
        <v>209</v>
      </c>
      <c r="H19" t="str">
        <f t="shared" si="1"/>
        <v>B</v>
      </c>
      <c r="I19" t="str">
        <f t="shared" si="2"/>
        <v>below 80</v>
      </c>
      <c r="K19">
        <f t="shared" si="3"/>
        <v>69.666666666666671</v>
      </c>
    </row>
    <row r="20" spans="1:19" ht="29.45" thickBot="1">
      <c r="A20" s="3">
        <v>1019</v>
      </c>
      <c r="B20" s="4" t="s">
        <v>30</v>
      </c>
      <c r="C20" s="4">
        <v>90</v>
      </c>
      <c r="D20" s="4">
        <v>78</v>
      </c>
      <c r="E20" s="4">
        <v>60</v>
      </c>
      <c r="F20" s="5">
        <v>46341</v>
      </c>
      <c r="G20">
        <f t="shared" si="0"/>
        <v>228</v>
      </c>
      <c r="H20" t="str">
        <f t="shared" si="1"/>
        <v>A</v>
      </c>
      <c r="I20" t="str">
        <f t="shared" si="2"/>
        <v>below 80</v>
      </c>
      <c r="K20">
        <f t="shared" si="3"/>
        <v>76</v>
      </c>
    </row>
    <row r="21" spans="1:19" ht="29.45" thickBot="1">
      <c r="A21" s="3">
        <v>1020</v>
      </c>
      <c r="B21" s="4" t="s">
        <v>31</v>
      </c>
      <c r="C21" s="4">
        <v>83</v>
      </c>
      <c r="D21" s="4">
        <v>92</v>
      </c>
      <c r="E21" s="4">
        <v>55</v>
      </c>
      <c r="F21" s="5">
        <v>46521</v>
      </c>
      <c r="G21">
        <f>SUM(C21:E21)</f>
        <v>230</v>
      </c>
      <c r="H21" t="str">
        <f t="shared" si="1"/>
        <v>A</v>
      </c>
      <c r="I21" t="str">
        <f t="shared" si="2"/>
        <v>Above 80</v>
      </c>
      <c r="K21">
        <f t="shared" si="3"/>
        <v>76.666666666666671</v>
      </c>
    </row>
  </sheetData>
  <pageMargins left="0.7" right="0.7" top="0.75" bottom="0.75" header="0.3" footer="0.3"/>
  <ignoredErrors>
    <ignoredError sqref="G2:G1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44A03-3101-4FB8-BAC9-399D4549CA46}">
  <dimension ref="A1:W21"/>
  <sheetViews>
    <sheetView topLeftCell="J1" workbookViewId="0">
      <selection activeCell="W2" sqref="W2"/>
    </sheetView>
  </sheetViews>
  <sheetFormatPr defaultRowHeight="14.45"/>
  <cols>
    <col min="4" max="4" width="10.85546875" customWidth="1"/>
    <col min="5" max="5" width="11.140625" bestFit="1" customWidth="1"/>
    <col min="6" max="6" width="14.5703125" bestFit="1" customWidth="1"/>
    <col min="7" max="7" width="10.140625" customWidth="1"/>
    <col min="9" max="9" width="13.42578125" bestFit="1" customWidth="1"/>
    <col min="10" max="10" width="12.85546875" bestFit="1" customWidth="1"/>
    <col min="11" max="12" width="13.42578125" bestFit="1" customWidth="1"/>
    <col min="13" max="13" width="12.140625" bestFit="1" customWidth="1"/>
    <col min="23" max="23" width="13.5703125" customWidth="1"/>
  </cols>
  <sheetData>
    <row r="1" spans="1:23" ht="45.75">
      <c r="A1" s="1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W1" s="7" t="s">
        <v>44</v>
      </c>
    </row>
    <row r="2" spans="1:23" ht="15">
      <c r="A2" s="3">
        <v>2001</v>
      </c>
      <c r="B2" s="4" t="s">
        <v>45</v>
      </c>
      <c r="C2" s="4" t="s">
        <v>46</v>
      </c>
      <c r="D2" s="4" t="s">
        <v>47</v>
      </c>
      <c r="E2" s="11">
        <v>7048</v>
      </c>
      <c r="F2" s="9">
        <v>44927</v>
      </c>
      <c r="G2" t="str">
        <f>UPPER(D2)</f>
        <v>PERSON 1</v>
      </c>
      <c r="H2" t="str">
        <f>LOWER(D2)</f>
        <v>person 1</v>
      </c>
      <c r="I2" s="8">
        <f>SUMIFS(E2:E21,C2:C21,C2)</f>
        <v>73188</v>
      </c>
      <c r="J2" s="13">
        <f>SUMIFS(E2:E21,C2:C21,C3)</f>
        <v>119978</v>
      </c>
      <c r="K2" s="8">
        <f>SUMIFS(E2:E21,C2:C21,C6)</f>
        <v>140627</v>
      </c>
      <c r="L2" s="8">
        <f>SUMIFS(E2:E21,C2:C21,C5)</f>
        <v>173932</v>
      </c>
      <c r="M2" s="14">
        <f>VLOOKUP(B2,B2:E21,4)</f>
        <v>33920</v>
      </c>
      <c r="N2" t="str">
        <f>IF(E2&lt;10000,"0%",IF(E2&lt;20000,"20%",IF(E2&lt;30000,"30%","50%")))</f>
        <v>0%</v>
      </c>
      <c r="O2" cm="1">
        <f t="array" aca="1" ref="O2:S21" ca="1">OFFSET(A2,0,0,20,5)</f>
        <v>2001</v>
      </c>
      <c r="P2" t="str">
        <f ca="1"/>
        <v>Keyboard</v>
      </c>
      <c r="Q2" t="str">
        <f ca="1"/>
        <v>South</v>
      </c>
      <c r="R2" t="str">
        <f ca="1"/>
        <v>Person 1</v>
      </c>
      <c r="S2">
        <f ca="1"/>
        <v>7048</v>
      </c>
      <c r="U2">
        <f>_xlfn.XMATCH(B6,B2:B21,0)</f>
        <v>1</v>
      </c>
      <c r="W2" t="str">
        <f>IF(OR(B2=$B$4,B2=$B$13),"eligible","not eligible")</f>
        <v>not eligible</v>
      </c>
    </row>
    <row r="3" spans="1:23" ht="15">
      <c r="A3" s="3">
        <v>2002</v>
      </c>
      <c r="B3" s="4" t="s">
        <v>48</v>
      </c>
      <c r="C3" s="4" t="s">
        <v>49</v>
      </c>
      <c r="D3" s="4" t="s">
        <v>50</v>
      </c>
      <c r="E3" s="11">
        <v>17428</v>
      </c>
      <c r="F3" s="9">
        <v>44942</v>
      </c>
      <c r="G3" t="str">
        <f t="shared" ref="G3:G21" si="0">UPPER(D3)</f>
        <v>PERSON 2</v>
      </c>
      <c r="H3" t="str">
        <f t="shared" ref="H3:H21" si="1">LOWER(D3)</f>
        <v>person 2</v>
      </c>
      <c r="N3" t="str">
        <f t="shared" ref="N3:N21" si="2">IF(E3&lt;10000,"0%",IF(E3&lt;20000,"20%",IF(E3&lt;30000,"30%","50%")))</f>
        <v>20%</v>
      </c>
      <c r="O3">
        <f ca="1"/>
        <v>2002</v>
      </c>
      <c r="P3" t="str">
        <f ca="1"/>
        <v>Printer</v>
      </c>
      <c r="Q3" t="str">
        <f ca="1"/>
        <v>West</v>
      </c>
      <c r="R3" t="str">
        <f ca="1"/>
        <v>Person 2</v>
      </c>
      <c r="S3">
        <f ca="1"/>
        <v>17428</v>
      </c>
      <c r="W3" t="str">
        <f t="shared" ref="W3:W21" si="3">IF(OR(B3=$B$4,B3=$B$13),"eligible","not eligible")</f>
        <v>not eligible</v>
      </c>
    </row>
    <row r="4" spans="1:23" ht="30.75">
      <c r="A4" s="3">
        <v>2003</v>
      </c>
      <c r="B4" s="4" t="s">
        <v>51</v>
      </c>
      <c r="C4" s="4" t="s">
        <v>46</v>
      </c>
      <c r="D4" s="4" t="s">
        <v>52</v>
      </c>
      <c r="E4" s="11">
        <v>23672</v>
      </c>
      <c r="F4" s="9">
        <v>44957</v>
      </c>
      <c r="G4" t="str">
        <f t="shared" si="0"/>
        <v>PERSON 3</v>
      </c>
      <c r="H4" t="str">
        <f t="shared" si="1"/>
        <v>person 3</v>
      </c>
      <c r="I4" s="7" t="s">
        <v>53</v>
      </c>
      <c r="J4" s="7" t="s">
        <v>54</v>
      </c>
      <c r="K4" s="7" t="s">
        <v>55</v>
      </c>
      <c r="L4" s="7" t="s">
        <v>56</v>
      </c>
      <c r="M4" s="7" t="s">
        <v>57</v>
      </c>
      <c r="N4" t="str">
        <f t="shared" si="2"/>
        <v>30%</v>
      </c>
      <c r="O4">
        <f ca="1"/>
        <v>2003</v>
      </c>
      <c r="P4" t="str">
        <f ca="1"/>
        <v>Mouse</v>
      </c>
      <c r="Q4" t="str">
        <f ca="1"/>
        <v>South</v>
      </c>
      <c r="R4" t="str">
        <f ca="1"/>
        <v>Person 3</v>
      </c>
      <c r="S4">
        <f ca="1"/>
        <v>23672</v>
      </c>
      <c r="W4" t="str">
        <f t="shared" si="3"/>
        <v>eligible</v>
      </c>
    </row>
    <row r="5" spans="1:23" ht="15">
      <c r="A5" s="3">
        <v>2004</v>
      </c>
      <c r="B5" s="4" t="s">
        <v>48</v>
      </c>
      <c r="C5" s="4" t="s">
        <v>58</v>
      </c>
      <c r="D5" s="4" t="s">
        <v>59</v>
      </c>
      <c r="E5" s="11">
        <v>5264</v>
      </c>
      <c r="F5" s="9">
        <v>44972</v>
      </c>
      <c r="G5" t="str">
        <f t="shared" si="0"/>
        <v>PERSON 4</v>
      </c>
      <c r="H5" t="str">
        <f t="shared" si="1"/>
        <v>person 4</v>
      </c>
      <c r="I5" s="12">
        <f>SUMIFS(E2:E21,B2:B21,B2)</f>
        <v>165970</v>
      </c>
      <c r="J5" s="12">
        <f>SUMIFS(E2:E21,B2:B21,B3)</f>
        <v>76391</v>
      </c>
      <c r="K5" s="12">
        <f>SUMIFS(E2:E21,B2:B21,B4)</f>
        <v>111200</v>
      </c>
      <c r="L5" s="12">
        <f>SUMIFS(E2:E21,B2:B21,B13)</f>
        <v>115643</v>
      </c>
      <c r="M5" s="12">
        <f>SUMIFS(E2:E21,B2:B21,B14)</f>
        <v>38521</v>
      </c>
      <c r="N5" t="str">
        <f t="shared" si="2"/>
        <v>0%</v>
      </c>
      <c r="O5">
        <f ca="1"/>
        <v>2004</v>
      </c>
      <c r="P5" t="str">
        <f ca="1"/>
        <v>Printer</v>
      </c>
      <c r="Q5" t="str">
        <f ca="1"/>
        <v>East</v>
      </c>
      <c r="R5" t="str">
        <f ca="1"/>
        <v>Person 4</v>
      </c>
      <c r="S5">
        <f ca="1"/>
        <v>5264</v>
      </c>
      <c r="W5" t="str">
        <f t="shared" si="3"/>
        <v>not eligible</v>
      </c>
    </row>
    <row r="6" spans="1:23" ht="15">
      <c r="A6" s="3">
        <v>2005</v>
      </c>
      <c r="B6" s="4" t="s">
        <v>45</v>
      </c>
      <c r="C6" s="4" t="s">
        <v>60</v>
      </c>
      <c r="D6" s="4" t="s">
        <v>61</v>
      </c>
      <c r="E6" s="11">
        <v>43388</v>
      </c>
      <c r="F6" s="9">
        <v>44987</v>
      </c>
      <c r="G6" t="str">
        <f t="shared" si="0"/>
        <v>PERSON 5</v>
      </c>
      <c r="H6" t="str">
        <f t="shared" si="1"/>
        <v>person 5</v>
      </c>
      <c r="N6" t="str">
        <f t="shared" si="2"/>
        <v>50%</v>
      </c>
      <c r="O6">
        <f ca="1"/>
        <v>2005</v>
      </c>
      <c r="P6" t="str">
        <f ca="1"/>
        <v>Keyboard</v>
      </c>
      <c r="Q6" t="str">
        <f ca="1"/>
        <v>North</v>
      </c>
      <c r="R6" t="str">
        <f ca="1"/>
        <v>Person 5</v>
      </c>
      <c r="S6">
        <f ca="1"/>
        <v>43388</v>
      </c>
      <c r="W6" t="str">
        <f t="shared" si="3"/>
        <v>not eligible</v>
      </c>
    </row>
    <row r="7" spans="1:23" ht="15">
      <c r="A7" s="3">
        <v>2006</v>
      </c>
      <c r="B7" s="4" t="s">
        <v>51</v>
      </c>
      <c r="C7" s="4" t="s">
        <v>60</v>
      </c>
      <c r="D7" s="4" t="s">
        <v>62</v>
      </c>
      <c r="E7" s="11">
        <v>19757</v>
      </c>
      <c r="F7" s="9">
        <v>45002</v>
      </c>
      <c r="G7" t="str">
        <f t="shared" si="0"/>
        <v>PERSON 6</v>
      </c>
      <c r="H7" t="str">
        <f t="shared" si="1"/>
        <v>person 6</v>
      </c>
      <c r="I7" s="17" t="s">
        <v>45</v>
      </c>
      <c r="J7" s="17" t="s">
        <v>48</v>
      </c>
      <c r="K7" s="17" t="s">
        <v>51</v>
      </c>
      <c r="L7" s="17" t="s">
        <v>63</v>
      </c>
      <c r="M7" s="17" t="s">
        <v>64</v>
      </c>
      <c r="N7" t="str">
        <f t="shared" si="2"/>
        <v>20%</v>
      </c>
      <c r="O7">
        <f ca="1"/>
        <v>2006</v>
      </c>
      <c r="P7" t="str">
        <f ca="1"/>
        <v>Mouse</v>
      </c>
      <c r="Q7" t="str">
        <f ca="1"/>
        <v>North</v>
      </c>
      <c r="R7" t="str">
        <f ca="1"/>
        <v>Person 6</v>
      </c>
      <c r="S7">
        <f ca="1"/>
        <v>19757</v>
      </c>
      <c r="W7" t="str">
        <f t="shared" si="3"/>
        <v>eligible</v>
      </c>
    </row>
    <row r="8" spans="1:23" ht="15">
      <c r="A8" s="3">
        <v>2007</v>
      </c>
      <c r="B8" s="4" t="s">
        <v>51</v>
      </c>
      <c r="C8" s="4" t="s">
        <v>58</v>
      </c>
      <c r="D8" s="4" t="s">
        <v>65</v>
      </c>
      <c r="E8" s="11">
        <v>32058</v>
      </c>
      <c r="F8" s="9">
        <v>45017</v>
      </c>
      <c r="G8" t="str">
        <f t="shared" si="0"/>
        <v>PERSON 7</v>
      </c>
      <c r="H8" t="str">
        <f t="shared" si="1"/>
        <v>person 7</v>
      </c>
      <c r="I8" s="18">
        <f>VLOOKUP(B2,B2:E21,4,FALSE)</f>
        <v>7048</v>
      </c>
      <c r="J8" s="18">
        <f>VLOOKUP(B3,B2:E21,4,FALSE)</f>
        <v>17428</v>
      </c>
      <c r="K8" s="18">
        <f>VLOOKUP(B4,B2:E21,4,FALSE)</f>
        <v>23672</v>
      </c>
      <c r="L8" s="18">
        <f>VLOOKUP(B13,B2:E21,4,FALSE)</f>
        <v>35611</v>
      </c>
      <c r="M8" s="18">
        <f>VLOOKUP(B15,B2:E21,4,FALSE)</f>
        <v>15560</v>
      </c>
      <c r="N8" t="str">
        <f t="shared" si="2"/>
        <v>50%</v>
      </c>
      <c r="O8">
        <f ca="1"/>
        <v>2007</v>
      </c>
      <c r="P8" t="str">
        <f ca="1"/>
        <v>Mouse</v>
      </c>
      <c r="Q8" t="str">
        <f ca="1"/>
        <v>East</v>
      </c>
      <c r="R8" t="str">
        <f ca="1"/>
        <v>Person 7</v>
      </c>
      <c r="S8">
        <f ca="1"/>
        <v>32058</v>
      </c>
      <c r="W8" t="str">
        <f t="shared" si="3"/>
        <v>eligible</v>
      </c>
    </row>
    <row r="9" spans="1:23" ht="15">
      <c r="A9" s="3">
        <v>2008</v>
      </c>
      <c r="B9" s="4" t="s">
        <v>45</v>
      </c>
      <c r="C9" s="4" t="s">
        <v>58</v>
      </c>
      <c r="D9" s="4" t="s">
        <v>66</v>
      </c>
      <c r="E9" s="11">
        <v>46429</v>
      </c>
      <c r="F9" s="9">
        <v>45032</v>
      </c>
      <c r="G9" t="str">
        <f t="shared" si="0"/>
        <v>PERSON 8</v>
      </c>
      <c r="H9" t="str">
        <f t="shared" si="1"/>
        <v>person 8</v>
      </c>
      <c r="N9" t="str">
        <f t="shared" si="2"/>
        <v>50%</v>
      </c>
      <c r="O9">
        <f ca="1"/>
        <v>2008</v>
      </c>
      <c r="P9" t="str">
        <f ca="1"/>
        <v>Keyboard</v>
      </c>
      <c r="Q9" t="str">
        <f ca="1"/>
        <v>East</v>
      </c>
      <c r="R9" t="str">
        <f ca="1"/>
        <v>Person 8</v>
      </c>
      <c r="S9">
        <f ca="1"/>
        <v>46429</v>
      </c>
      <c r="W9" t="str">
        <f t="shared" si="3"/>
        <v>not eligible</v>
      </c>
    </row>
    <row r="10" spans="1:23" ht="15">
      <c r="A10" s="3">
        <v>2009</v>
      </c>
      <c r="B10" s="4" t="s">
        <v>48</v>
      </c>
      <c r="C10" s="4" t="s">
        <v>58</v>
      </c>
      <c r="D10" s="4" t="s">
        <v>67</v>
      </c>
      <c r="E10" s="11">
        <v>19746</v>
      </c>
      <c r="F10" s="9">
        <v>45047</v>
      </c>
      <c r="G10" t="str">
        <f t="shared" si="0"/>
        <v>PERSON 9</v>
      </c>
      <c r="H10" t="str">
        <f t="shared" si="1"/>
        <v>person 9</v>
      </c>
      <c r="J10" t="str" cm="1">
        <f t="array" aca="1" ref="J10" ca="1">INDIRECT("C3")</f>
        <v>West</v>
      </c>
      <c r="N10" t="str">
        <f t="shared" si="2"/>
        <v>20%</v>
      </c>
      <c r="O10">
        <f ca="1"/>
        <v>2009</v>
      </c>
      <c r="P10" t="str">
        <f ca="1"/>
        <v>Printer</v>
      </c>
      <c r="Q10" t="str">
        <f ca="1"/>
        <v>East</v>
      </c>
      <c r="R10" t="str">
        <f ca="1"/>
        <v>Person 9</v>
      </c>
      <c r="S10">
        <f ca="1"/>
        <v>19746</v>
      </c>
      <c r="W10" t="str">
        <f t="shared" si="3"/>
        <v>not eligible</v>
      </c>
    </row>
    <row r="11" spans="1:23" ht="15">
      <c r="A11" s="3">
        <v>2010</v>
      </c>
      <c r="B11" s="4" t="s">
        <v>45</v>
      </c>
      <c r="C11" s="4" t="s">
        <v>46</v>
      </c>
      <c r="D11" s="4" t="s">
        <v>68</v>
      </c>
      <c r="E11" s="11">
        <v>35185</v>
      </c>
      <c r="F11" s="9">
        <v>45062</v>
      </c>
      <c r="G11" t="str">
        <f t="shared" si="0"/>
        <v>PERSON 10</v>
      </c>
      <c r="H11" t="str">
        <f t="shared" si="1"/>
        <v>person 10</v>
      </c>
      <c r="N11" t="str">
        <f t="shared" si="2"/>
        <v>50%</v>
      </c>
      <c r="O11">
        <f ca="1"/>
        <v>2010</v>
      </c>
      <c r="P11" t="str">
        <f ca="1"/>
        <v>Keyboard</v>
      </c>
      <c r="Q11" t="str">
        <f ca="1"/>
        <v>South</v>
      </c>
      <c r="R11" t="str">
        <f ca="1"/>
        <v>Person 10</v>
      </c>
      <c r="S11">
        <f ca="1"/>
        <v>35185</v>
      </c>
      <c r="W11" t="str">
        <f t="shared" si="3"/>
        <v>not eligible</v>
      </c>
    </row>
    <row r="12" spans="1:23" ht="15">
      <c r="A12" s="3">
        <v>2011</v>
      </c>
      <c r="B12" s="4" t="s">
        <v>45</v>
      </c>
      <c r="C12" s="4" t="s">
        <v>58</v>
      </c>
      <c r="D12" s="4" t="s">
        <v>69</v>
      </c>
      <c r="E12" s="11">
        <v>33920</v>
      </c>
      <c r="F12" s="9">
        <v>45077</v>
      </c>
      <c r="G12" t="str">
        <f t="shared" si="0"/>
        <v>PERSON 11</v>
      </c>
      <c r="H12" t="str">
        <f t="shared" si="1"/>
        <v>person 11</v>
      </c>
      <c r="N12" t="str">
        <f t="shared" si="2"/>
        <v>50%</v>
      </c>
      <c r="O12">
        <f ca="1"/>
        <v>2011</v>
      </c>
      <c r="P12" t="str">
        <f ca="1"/>
        <v>Keyboard</v>
      </c>
      <c r="Q12" t="str">
        <f ca="1"/>
        <v>East</v>
      </c>
      <c r="R12" t="str">
        <f ca="1"/>
        <v>Person 11</v>
      </c>
      <c r="S12">
        <f ca="1"/>
        <v>33920</v>
      </c>
      <c r="W12" t="str">
        <f t="shared" si="3"/>
        <v>not eligible</v>
      </c>
    </row>
    <row r="13" spans="1:23" ht="15">
      <c r="A13" s="3">
        <v>2012</v>
      </c>
      <c r="B13" s="4" t="s">
        <v>70</v>
      </c>
      <c r="C13" s="4" t="s">
        <v>60</v>
      </c>
      <c r="D13" s="4" t="s">
        <v>71</v>
      </c>
      <c r="E13" s="11">
        <v>35611</v>
      </c>
      <c r="F13" s="9">
        <v>45092</v>
      </c>
      <c r="G13" t="str">
        <f t="shared" si="0"/>
        <v>PERSON 12</v>
      </c>
      <c r="H13" t="str">
        <f t="shared" si="1"/>
        <v>person 12</v>
      </c>
      <c r="N13" t="str">
        <f t="shared" si="2"/>
        <v>50%</v>
      </c>
      <c r="O13">
        <f ca="1"/>
        <v>2012</v>
      </c>
      <c r="P13" t="str">
        <f ca="1"/>
        <v>Monitor</v>
      </c>
      <c r="Q13" t="str">
        <f ca="1"/>
        <v>North</v>
      </c>
      <c r="R13" t="str">
        <f ca="1"/>
        <v>Person 12</v>
      </c>
      <c r="S13">
        <f ca="1"/>
        <v>35611</v>
      </c>
      <c r="W13" t="str">
        <f t="shared" si="3"/>
        <v>eligible</v>
      </c>
    </row>
    <row r="14" spans="1:23" ht="15">
      <c r="A14" s="3">
        <v>2013</v>
      </c>
      <c r="B14" s="4" t="s">
        <v>64</v>
      </c>
      <c r="C14" s="4" t="s">
        <v>58</v>
      </c>
      <c r="D14" s="4" t="s">
        <v>72</v>
      </c>
      <c r="E14" s="11">
        <v>15560</v>
      </c>
      <c r="F14" s="9">
        <v>45107</v>
      </c>
      <c r="G14" t="str">
        <f t="shared" si="0"/>
        <v>PERSON 13</v>
      </c>
      <c r="H14" t="str">
        <f t="shared" si="1"/>
        <v>person 13</v>
      </c>
      <c r="N14" t="str">
        <f t="shared" si="2"/>
        <v>20%</v>
      </c>
      <c r="O14">
        <f ca="1"/>
        <v>2013</v>
      </c>
      <c r="P14" t="str">
        <f ca="1"/>
        <v>Laptop</v>
      </c>
      <c r="Q14" t="str">
        <f ca="1"/>
        <v>East</v>
      </c>
      <c r="R14" t="str">
        <f ca="1"/>
        <v>Person 13</v>
      </c>
      <c r="S14">
        <f ca="1"/>
        <v>15560</v>
      </c>
      <c r="W14" t="str">
        <f t="shared" si="3"/>
        <v>not eligible</v>
      </c>
    </row>
    <row r="15" spans="1:23" ht="15">
      <c r="A15" s="3">
        <v>2014</v>
      </c>
      <c r="B15" s="4" t="s">
        <v>64</v>
      </c>
      <c r="C15" s="4" t="s">
        <v>46</v>
      </c>
      <c r="D15" s="4" t="s">
        <v>73</v>
      </c>
      <c r="E15" s="11">
        <v>7283</v>
      </c>
      <c r="F15" s="9">
        <v>45122</v>
      </c>
      <c r="G15" t="str">
        <f t="shared" si="0"/>
        <v>PERSON 14</v>
      </c>
      <c r="H15" t="str">
        <f t="shared" si="1"/>
        <v>person 14</v>
      </c>
      <c r="N15" t="str">
        <f t="shared" si="2"/>
        <v>0%</v>
      </c>
      <c r="O15">
        <f ca="1"/>
        <v>2014</v>
      </c>
      <c r="P15" t="str">
        <f ca="1"/>
        <v>Laptop</v>
      </c>
      <c r="Q15" t="str">
        <f ca="1"/>
        <v>South</v>
      </c>
      <c r="R15" t="str">
        <f ca="1"/>
        <v>Person 14</v>
      </c>
      <c r="S15">
        <f ca="1"/>
        <v>7283</v>
      </c>
      <c r="W15" t="str">
        <f t="shared" si="3"/>
        <v>not eligible</v>
      </c>
    </row>
    <row r="16" spans="1:23" ht="15">
      <c r="A16" s="3">
        <v>2015</v>
      </c>
      <c r="B16" s="4" t="s">
        <v>64</v>
      </c>
      <c r="C16" s="4" t="s">
        <v>58</v>
      </c>
      <c r="D16" s="4" t="s">
        <v>74</v>
      </c>
      <c r="E16" s="11">
        <v>15678</v>
      </c>
      <c r="F16" s="9">
        <v>45137</v>
      </c>
      <c r="G16" t="str">
        <f t="shared" si="0"/>
        <v>PERSON 15</v>
      </c>
      <c r="H16" t="str">
        <f t="shared" si="1"/>
        <v>person 15</v>
      </c>
      <c r="N16" t="str">
        <f t="shared" si="2"/>
        <v>20%</v>
      </c>
      <c r="O16">
        <f ca="1"/>
        <v>2015</v>
      </c>
      <c r="P16" t="str">
        <f ca="1"/>
        <v>Laptop</v>
      </c>
      <c r="Q16" t="str">
        <f ca="1"/>
        <v>East</v>
      </c>
      <c r="R16" t="str">
        <f ca="1"/>
        <v>Person 15</v>
      </c>
      <c r="S16">
        <f ca="1"/>
        <v>15678</v>
      </c>
      <c r="W16" t="str">
        <f t="shared" si="3"/>
        <v>not eligible</v>
      </c>
    </row>
    <row r="17" spans="1:23" ht="15">
      <c r="A17" s="3">
        <v>2016</v>
      </c>
      <c r="B17" s="4" t="s">
        <v>51</v>
      </c>
      <c r="C17" s="4" t="s">
        <v>58</v>
      </c>
      <c r="D17" s="4" t="s">
        <v>75</v>
      </c>
      <c r="E17" s="11">
        <v>5277</v>
      </c>
      <c r="F17" s="9">
        <v>45152</v>
      </c>
      <c r="G17" t="str">
        <f t="shared" si="0"/>
        <v>PERSON 16</v>
      </c>
      <c r="H17" t="str">
        <f t="shared" si="1"/>
        <v>person 16</v>
      </c>
      <c r="N17" t="str">
        <f t="shared" si="2"/>
        <v>0%</v>
      </c>
      <c r="O17">
        <f ca="1"/>
        <v>2016</v>
      </c>
      <c r="P17" t="str">
        <f ca="1"/>
        <v>Mouse</v>
      </c>
      <c r="Q17" t="str">
        <f ca="1"/>
        <v>East</v>
      </c>
      <c r="R17" t="str">
        <f ca="1"/>
        <v>Person 16</v>
      </c>
      <c r="S17">
        <f ca="1"/>
        <v>5277</v>
      </c>
      <c r="W17" t="str">
        <f t="shared" si="3"/>
        <v>eligible</v>
      </c>
    </row>
    <row r="18" spans="1:23" ht="15">
      <c r="A18" s="3">
        <v>2017</v>
      </c>
      <c r="B18" s="4" t="s">
        <v>70</v>
      </c>
      <c r="C18" s="4" t="s">
        <v>60</v>
      </c>
      <c r="D18" s="4" t="s">
        <v>76</v>
      </c>
      <c r="E18" s="11">
        <v>41871</v>
      </c>
      <c r="F18" s="9">
        <v>45167</v>
      </c>
      <c r="G18" t="str">
        <f t="shared" si="0"/>
        <v>PERSON 17</v>
      </c>
      <c r="H18" t="str">
        <f t="shared" si="1"/>
        <v>person 17</v>
      </c>
      <c r="N18" t="str">
        <f t="shared" si="2"/>
        <v>50%</v>
      </c>
      <c r="O18">
        <f ca="1"/>
        <v>2017</v>
      </c>
      <c r="P18" t="str">
        <f ca="1"/>
        <v>Monitor</v>
      </c>
      <c r="Q18" t="str">
        <f ca="1"/>
        <v>North</v>
      </c>
      <c r="R18" t="str">
        <f ca="1"/>
        <v>Person 17</v>
      </c>
      <c r="S18">
        <f ca="1"/>
        <v>41871</v>
      </c>
      <c r="W18" t="str">
        <f t="shared" si="3"/>
        <v>eligible</v>
      </c>
    </row>
    <row r="19" spans="1:23" ht="15">
      <c r="A19" s="3">
        <v>2018</v>
      </c>
      <c r="B19" s="4" t="s">
        <v>70</v>
      </c>
      <c r="C19" s="4" t="s">
        <v>49</v>
      </c>
      <c r="D19" s="4" t="s">
        <v>77</v>
      </c>
      <c r="E19" s="11">
        <v>38161</v>
      </c>
      <c r="F19" s="9">
        <v>45182</v>
      </c>
      <c r="G19" t="str">
        <f t="shared" si="0"/>
        <v>PERSON 18</v>
      </c>
      <c r="H19" t="str">
        <f t="shared" si="1"/>
        <v>person 18</v>
      </c>
      <c r="N19" t="str">
        <f t="shared" si="2"/>
        <v>50%</v>
      </c>
      <c r="O19">
        <f ca="1"/>
        <v>2018</v>
      </c>
      <c r="P19" t="str">
        <f ca="1"/>
        <v>Monitor</v>
      </c>
      <c r="Q19" t="str">
        <f ca="1"/>
        <v>West</v>
      </c>
      <c r="R19" t="str">
        <f ca="1"/>
        <v>Person 18</v>
      </c>
      <c r="S19">
        <f ca="1"/>
        <v>38161</v>
      </c>
      <c r="W19" t="str">
        <f t="shared" si="3"/>
        <v>eligible</v>
      </c>
    </row>
    <row r="20" spans="1:23" ht="15">
      <c r="A20" s="3">
        <v>2019</v>
      </c>
      <c r="B20" s="4" t="s">
        <v>51</v>
      </c>
      <c r="C20" s="4" t="s">
        <v>49</v>
      </c>
      <c r="D20" s="4" t="s">
        <v>78</v>
      </c>
      <c r="E20" s="11">
        <v>30436</v>
      </c>
      <c r="F20" s="9">
        <v>45197</v>
      </c>
      <c r="G20" t="str">
        <f t="shared" si="0"/>
        <v>PERSON 19</v>
      </c>
      <c r="H20" t="str">
        <f t="shared" si="1"/>
        <v>person 19</v>
      </c>
      <c r="N20" t="str">
        <f t="shared" si="2"/>
        <v>50%</v>
      </c>
      <c r="O20">
        <f ca="1"/>
        <v>2019</v>
      </c>
      <c r="P20" t="str">
        <f ca="1"/>
        <v>Mouse</v>
      </c>
      <c r="Q20" t="str">
        <f ca="1"/>
        <v>West</v>
      </c>
      <c r="R20" t="str">
        <f ca="1"/>
        <v>Person 19</v>
      </c>
      <c r="S20">
        <f ca="1"/>
        <v>30436</v>
      </c>
      <c r="W20" t="str">
        <f t="shared" si="3"/>
        <v>eligible</v>
      </c>
    </row>
    <row r="21" spans="1:23" ht="15">
      <c r="A21" s="3">
        <v>2020</v>
      </c>
      <c r="B21" s="4" t="s">
        <v>48</v>
      </c>
      <c r="C21" s="4" t="s">
        <v>49</v>
      </c>
      <c r="D21" s="4" t="s">
        <v>79</v>
      </c>
      <c r="E21" s="11">
        <v>33953</v>
      </c>
      <c r="F21" s="9">
        <v>45212</v>
      </c>
      <c r="G21" t="str">
        <f t="shared" si="0"/>
        <v>PERSON 20</v>
      </c>
      <c r="H21" t="str">
        <f t="shared" si="1"/>
        <v>person 20</v>
      </c>
      <c r="N21" t="str">
        <f t="shared" si="2"/>
        <v>50%</v>
      </c>
      <c r="O21">
        <f ca="1"/>
        <v>2020</v>
      </c>
      <c r="P21" t="str">
        <f ca="1"/>
        <v>Printer</v>
      </c>
      <c r="Q21" t="str">
        <f ca="1"/>
        <v>West</v>
      </c>
      <c r="R21" t="str">
        <f ca="1"/>
        <v>Person 20</v>
      </c>
      <c r="S21">
        <f ca="1"/>
        <v>33953</v>
      </c>
      <c r="W21" t="str">
        <f t="shared" si="3"/>
        <v>not eligible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0059-2F93-49E4-AABF-4E2A18E40770}">
  <dimension ref="A1:L21"/>
  <sheetViews>
    <sheetView tabSelected="1" workbookViewId="0">
      <selection activeCell="L8" sqref="L8"/>
    </sheetView>
  </sheetViews>
  <sheetFormatPr defaultRowHeight="14.45"/>
  <cols>
    <col min="2" max="2" width="11.140625" customWidth="1"/>
    <col min="3" max="3" width="19.42578125" customWidth="1"/>
    <col min="4" max="4" width="12.140625" bestFit="1" customWidth="1"/>
    <col min="5" max="5" width="14.5703125" bestFit="1" customWidth="1"/>
    <col min="6" max="6" width="12.85546875" bestFit="1" customWidth="1"/>
  </cols>
  <sheetData>
    <row r="1" spans="1:12" ht="30.75">
      <c r="A1" s="1" t="s">
        <v>80</v>
      </c>
      <c r="B1" s="2" t="s">
        <v>1</v>
      </c>
      <c r="C1" s="2" t="s">
        <v>81</v>
      </c>
      <c r="D1" s="2" t="s">
        <v>82</v>
      </c>
      <c r="E1" s="2" t="s">
        <v>83</v>
      </c>
      <c r="H1" s="17" t="s">
        <v>84</v>
      </c>
      <c r="I1" s="17" t="s">
        <v>85</v>
      </c>
    </row>
    <row r="2" spans="1:12" ht="15">
      <c r="A2" s="3">
        <v>3001</v>
      </c>
      <c r="B2" s="4" t="s">
        <v>86</v>
      </c>
      <c r="C2" s="4" t="s">
        <v>87</v>
      </c>
      <c r="D2" s="15">
        <v>86766</v>
      </c>
      <c r="E2" s="5">
        <v>42005</v>
      </c>
      <c r="F2" s="6">
        <f>_xlfn.XLOOKUP(B2,B2:B21,D2:D21)</f>
        <v>86766</v>
      </c>
      <c r="H2" t="str">
        <f>RIGHT(B2,2)</f>
        <v xml:space="preserve"> 1</v>
      </c>
      <c r="I2" t="str">
        <f>LEFT(B2,8)</f>
        <v>Employee</v>
      </c>
      <c r="K2" t="str">
        <f>VLOOKUP(1005,Student!A2:B21,2)</f>
        <v>Student 5</v>
      </c>
    </row>
    <row r="3" spans="1:12" ht="15">
      <c r="A3" s="3">
        <v>3002</v>
      </c>
      <c r="B3" s="4" t="s">
        <v>88</v>
      </c>
      <c r="C3" s="4" t="s">
        <v>87</v>
      </c>
      <c r="D3" s="15">
        <v>31943</v>
      </c>
      <c r="E3" s="5">
        <v>42255</v>
      </c>
      <c r="F3" s="6">
        <f t="shared" ref="F3:F21" si="0">_xlfn.XLOOKUP(B3,B3:B22,D3:D22)</f>
        <v>31943</v>
      </c>
      <c r="H3" t="str">
        <f t="shared" ref="H3:H21" si="1">RIGHT(B3,2)</f>
        <v xml:space="preserve"> 2</v>
      </c>
      <c r="I3" t="str">
        <f t="shared" ref="I3:I21" si="2">LEFT(B3,8)</f>
        <v>Employee</v>
      </c>
    </row>
    <row r="4" spans="1:12" ht="15">
      <c r="A4" s="3">
        <v>3003</v>
      </c>
      <c r="B4" s="4" t="s">
        <v>89</v>
      </c>
      <c r="C4" s="4" t="s">
        <v>90</v>
      </c>
      <c r="D4" s="15">
        <v>63374</v>
      </c>
      <c r="E4" s="5">
        <v>42505</v>
      </c>
      <c r="F4" s="6">
        <f t="shared" si="0"/>
        <v>63374</v>
      </c>
      <c r="H4" t="str">
        <f t="shared" si="1"/>
        <v xml:space="preserve"> 3</v>
      </c>
      <c r="I4" t="str">
        <f t="shared" si="2"/>
        <v>Employee</v>
      </c>
      <c r="K4">
        <v>14.542299999999999</v>
      </c>
    </row>
    <row r="5" spans="1:12" ht="15">
      <c r="A5" s="3">
        <v>3004</v>
      </c>
      <c r="B5" s="4" t="s">
        <v>91</v>
      </c>
      <c r="C5" s="4" t="s">
        <v>87</v>
      </c>
      <c r="D5" s="15">
        <v>109972</v>
      </c>
      <c r="E5" s="5">
        <v>42755</v>
      </c>
      <c r="F5" s="16">
        <f t="shared" si="0"/>
        <v>109972</v>
      </c>
      <c r="H5" t="str">
        <f t="shared" si="1"/>
        <v xml:space="preserve"> 4</v>
      </c>
      <c r="I5" t="str">
        <f t="shared" si="2"/>
        <v>Employee</v>
      </c>
    </row>
    <row r="6" spans="1:12" ht="15">
      <c r="A6" s="3">
        <v>3005</v>
      </c>
      <c r="B6" s="4" t="s">
        <v>92</v>
      </c>
      <c r="C6" s="4" t="s">
        <v>93</v>
      </c>
      <c r="D6" s="15">
        <v>54149</v>
      </c>
      <c r="E6" s="5">
        <v>43005</v>
      </c>
      <c r="F6" s="16">
        <f t="shared" si="0"/>
        <v>54149</v>
      </c>
      <c r="H6" t="str">
        <f t="shared" si="1"/>
        <v xml:space="preserve"> 5</v>
      </c>
      <c r="I6" t="str">
        <f t="shared" si="2"/>
        <v>Employee</v>
      </c>
      <c r="K6">
        <f>FLOOR(23,5)</f>
        <v>20</v>
      </c>
      <c r="L6">
        <f>CEILING(43,4)</f>
        <v>44</v>
      </c>
    </row>
    <row r="7" spans="1:12" ht="15">
      <c r="A7" s="3">
        <v>3006</v>
      </c>
      <c r="B7" s="4" t="s">
        <v>94</v>
      </c>
      <c r="C7" s="4" t="s">
        <v>93</v>
      </c>
      <c r="D7" s="15">
        <v>78689</v>
      </c>
      <c r="E7" s="5">
        <v>43255</v>
      </c>
      <c r="F7" s="16">
        <f t="shared" si="0"/>
        <v>78689</v>
      </c>
      <c r="H7" t="str">
        <f t="shared" si="1"/>
        <v xml:space="preserve"> 6</v>
      </c>
      <c r="I7" t="str">
        <f t="shared" si="2"/>
        <v>Employee</v>
      </c>
      <c r="K7">
        <f>ROUND(K4,2)</f>
        <v>14.54</v>
      </c>
    </row>
    <row r="8" spans="1:12" ht="30.75">
      <c r="A8" s="3">
        <v>3007</v>
      </c>
      <c r="B8" s="4" t="s">
        <v>95</v>
      </c>
      <c r="C8" s="4" t="s">
        <v>96</v>
      </c>
      <c r="D8" s="15">
        <v>35960</v>
      </c>
      <c r="E8" s="5">
        <v>43505</v>
      </c>
      <c r="F8" s="16">
        <f t="shared" si="0"/>
        <v>35960</v>
      </c>
      <c r="H8" t="str">
        <f t="shared" si="1"/>
        <v xml:space="preserve"> 7</v>
      </c>
      <c r="I8" t="str">
        <f t="shared" si="2"/>
        <v>Employee</v>
      </c>
    </row>
    <row r="9" spans="1:12" ht="15">
      <c r="A9" s="3">
        <v>3008</v>
      </c>
      <c r="B9" s="4" t="s">
        <v>97</v>
      </c>
      <c r="C9" s="4" t="s">
        <v>93</v>
      </c>
      <c r="D9" s="15">
        <v>91659</v>
      </c>
      <c r="E9" s="5">
        <v>43755</v>
      </c>
      <c r="F9" s="16">
        <f t="shared" si="0"/>
        <v>91659</v>
      </c>
      <c r="H9" t="str">
        <f t="shared" si="1"/>
        <v xml:space="preserve"> 8</v>
      </c>
      <c r="I9" t="str">
        <f t="shared" si="2"/>
        <v>Employee</v>
      </c>
    </row>
    <row r="10" spans="1:12" ht="15">
      <c r="A10" s="3">
        <v>3009</v>
      </c>
      <c r="B10" s="4" t="s">
        <v>98</v>
      </c>
      <c r="C10" s="4" t="s">
        <v>93</v>
      </c>
      <c r="D10" s="15">
        <v>90423</v>
      </c>
      <c r="E10" s="5">
        <v>44005</v>
      </c>
      <c r="F10" s="16">
        <f t="shared" si="0"/>
        <v>90423</v>
      </c>
      <c r="H10" t="str">
        <f t="shared" si="1"/>
        <v xml:space="preserve"> 9</v>
      </c>
      <c r="I10" t="str">
        <f t="shared" si="2"/>
        <v>Employee</v>
      </c>
      <c r="K10">
        <f>DATEDIF(E2,E4,"D")</f>
        <v>500</v>
      </c>
    </row>
    <row r="11" spans="1:12" ht="30.75">
      <c r="A11" s="3">
        <v>3010</v>
      </c>
      <c r="B11" s="4" t="s">
        <v>99</v>
      </c>
      <c r="C11" s="4" t="s">
        <v>90</v>
      </c>
      <c r="D11" s="15">
        <v>107877</v>
      </c>
      <c r="E11" s="5">
        <v>44255</v>
      </c>
      <c r="F11" s="16">
        <f t="shared" si="0"/>
        <v>107877</v>
      </c>
      <c r="H11" t="str">
        <f t="shared" si="1"/>
        <v>10</v>
      </c>
      <c r="I11" t="str">
        <f t="shared" si="2"/>
        <v>Employee</v>
      </c>
    </row>
    <row r="12" spans="1:12" ht="30.75">
      <c r="A12" s="3">
        <v>3011</v>
      </c>
      <c r="B12" s="4" t="s">
        <v>100</v>
      </c>
      <c r="C12" s="4" t="s">
        <v>87</v>
      </c>
      <c r="D12" s="15">
        <v>107634</v>
      </c>
      <c r="E12" s="5">
        <v>44505</v>
      </c>
      <c r="F12" s="16">
        <f t="shared" si="0"/>
        <v>107634</v>
      </c>
      <c r="H12" t="str">
        <f t="shared" si="1"/>
        <v>11</v>
      </c>
      <c r="I12" t="str">
        <f t="shared" si="2"/>
        <v>Employee</v>
      </c>
    </row>
    <row r="13" spans="1:12" ht="30.75">
      <c r="A13" s="3">
        <v>3012</v>
      </c>
      <c r="B13" s="4" t="s">
        <v>101</v>
      </c>
      <c r="C13" s="4" t="s">
        <v>87</v>
      </c>
      <c r="D13" s="15">
        <v>35226</v>
      </c>
      <c r="E13" s="5">
        <v>44755</v>
      </c>
      <c r="F13" s="16">
        <f t="shared" si="0"/>
        <v>35226</v>
      </c>
      <c r="H13" t="str">
        <f t="shared" si="1"/>
        <v>12</v>
      </c>
      <c r="I13" t="str">
        <f t="shared" si="2"/>
        <v>Employee</v>
      </c>
    </row>
    <row r="14" spans="1:12" ht="30.75">
      <c r="A14" s="3">
        <v>3013</v>
      </c>
      <c r="B14" s="4" t="s">
        <v>102</v>
      </c>
      <c r="C14" s="4" t="s">
        <v>90</v>
      </c>
      <c r="D14" s="15">
        <v>40872</v>
      </c>
      <c r="E14" s="5">
        <v>45005</v>
      </c>
      <c r="F14" s="16">
        <f t="shared" si="0"/>
        <v>40872</v>
      </c>
      <c r="H14" t="str">
        <f t="shared" si="1"/>
        <v>13</v>
      </c>
      <c r="I14" t="str">
        <f t="shared" si="2"/>
        <v>Employee</v>
      </c>
    </row>
    <row r="15" spans="1:12" ht="30.75">
      <c r="A15" s="3">
        <v>3014</v>
      </c>
      <c r="B15" s="4" t="s">
        <v>103</v>
      </c>
      <c r="C15" s="4" t="s">
        <v>90</v>
      </c>
      <c r="D15" s="15">
        <v>55378</v>
      </c>
      <c r="E15" s="5">
        <v>45255</v>
      </c>
      <c r="F15" s="16">
        <f t="shared" si="0"/>
        <v>55378</v>
      </c>
      <c r="H15" t="str">
        <f t="shared" si="1"/>
        <v>14</v>
      </c>
      <c r="I15" t="str">
        <f t="shared" si="2"/>
        <v>Employee</v>
      </c>
    </row>
    <row r="16" spans="1:12" ht="30.75">
      <c r="A16" s="3">
        <v>3015</v>
      </c>
      <c r="B16" s="4" t="s">
        <v>104</v>
      </c>
      <c r="C16" s="4" t="s">
        <v>90</v>
      </c>
      <c r="D16" s="15">
        <v>63297</v>
      </c>
      <c r="E16" s="5">
        <v>45505</v>
      </c>
      <c r="F16" s="16">
        <f t="shared" si="0"/>
        <v>63297</v>
      </c>
      <c r="H16" t="str">
        <f t="shared" si="1"/>
        <v>15</v>
      </c>
      <c r="I16" t="str">
        <f t="shared" si="2"/>
        <v>Employee</v>
      </c>
    </row>
    <row r="17" spans="1:9" ht="30.75">
      <c r="A17" s="3">
        <v>3016</v>
      </c>
      <c r="B17" s="4" t="s">
        <v>105</v>
      </c>
      <c r="C17" s="4" t="s">
        <v>87</v>
      </c>
      <c r="D17" s="15">
        <v>114173</v>
      </c>
      <c r="E17" s="5">
        <v>45755</v>
      </c>
      <c r="F17" s="16">
        <f t="shared" si="0"/>
        <v>114173</v>
      </c>
      <c r="H17" t="str">
        <f t="shared" si="1"/>
        <v>16</v>
      </c>
      <c r="I17" t="str">
        <f t="shared" si="2"/>
        <v>Employee</v>
      </c>
    </row>
    <row r="18" spans="1:9" ht="30.75">
      <c r="A18" s="3">
        <v>3017</v>
      </c>
      <c r="B18" s="4" t="s">
        <v>106</v>
      </c>
      <c r="C18" s="4" t="s">
        <v>90</v>
      </c>
      <c r="D18" s="15">
        <v>86915</v>
      </c>
      <c r="E18" s="5">
        <v>46005</v>
      </c>
      <c r="F18" s="16">
        <f t="shared" si="0"/>
        <v>86915</v>
      </c>
      <c r="H18" t="str">
        <f t="shared" si="1"/>
        <v>17</v>
      </c>
      <c r="I18" t="str">
        <f t="shared" si="2"/>
        <v>Employee</v>
      </c>
    </row>
    <row r="19" spans="1:9" ht="30.75">
      <c r="A19" s="3">
        <v>3018</v>
      </c>
      <c r="B19" s="4" t="s">
        <v>107</v>
      </c>
      <c r="C19" s="4" t="s">
        <v>93</v>
      </c>
      <c r="D19" s="15">
        <v>116284</v>
      </c>
      <c r="E19" s="5">
        <v>46255</v>
      </c>
      <c r="F19" s="16">
        <f t="shared" si="0"/>
        <v>116284</v>
      </c>
      <c r="H19" t="str">
        <f t="shared" si="1"/>
        <v>18</v>
      </c>
      <c r="I19" t="str">
        <f t="shared" si="2"/>
        <v>Employee</v>
      </c>
    </row>
    <row r="20" spans="1:9" ht="30.75">
      <c r="A20" s="3">
        <v>3019</v>
      </c>
      <c r="B20" s="4" t="s">
        <v>108</v>
      </c>
      <c r="C20" s="4" t="s">
        <v>96</v>
      </c>
      <c r="D20" s="15">
        <v>116283</v>
      </c>
      <c r="E20" s="5">
        <v>46505</v>
      </c>
      <c r="F20" s="16">
        <f t="shared" si="0"/>
        <v>116283</v>
      </c>
      <c r="H20" t="str">
        <f t="shared" si="1"/>
        <v>19</v>
      </c>
      <c r="I20" t="str">
        <f t="shared" si="2"/>
        <v>Employee</v>
      </c>
    </row>
    <row r="21" spans="1:9" ht="30.75">
      <c r="A21" s="3">
        <v>3020</v>
      </c>
      <c r="B21" s="4" t="s">
        <v>109</v>
      </c>
      <c r="C21" s="4" t="s">
        <v>96</v>
      </c>
      <c r="D21" s="15">
        <v>99924</v>
      </c>
      <c r="E21" s="5">
        <v>46755</v>
      </c>
      <c r="F21" s="16">
        <f t="shared" si="0"/>
        <v>99924</v>
      </c>
      <c r="H21" t="str">
        <f t="shared" si="1"/>
        <v>20</v>
      </c>
      <c r="I21" t="str">
        <f t="shared" si="2"/>
        <v>Employee</v>
      </c>
    </row>
  </sheetData>
  <pageMargins left="0.7" right="0.7" top="0.75" bottom="0.75" header="0.3" footer="0.3"/>
  <ignoredErrors>
    <ignoredError sqref="F3:F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NIRPAL SOLANKI</dc:creator>
  <cp:keywords/>
  <dc:description/>
  <cp:lastModifiedBy/>
  <cp:revision/>
  <dcterms:created xsi:type="dcterms:W3CDTF">2026-10-08T13:46:10Z</dcterms:created>
  <dcterms:modified xsi:type="dcterms:W3CDTF">2026-10-14T08:24:42Z</dcterms:modified>
  <cp:category/>
  <cp:contentStatus/>
</cp:coreProperties>
</file>